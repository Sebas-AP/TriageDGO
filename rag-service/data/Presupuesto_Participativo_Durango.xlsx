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_Presupuesto" sheetId="1" state="visible" r:id="rId1"/>
    <sheet xmlns:r="http://schemas.openxmlformats.org/officeDocument/2006/relationships" name="VBA_y_CSV_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1E293B"/>
      <sz val="12"/>
    </font>
    <font>
      <name val="Calibri"/>
      <b val="1"/>
      <color rgb="001E293B"/>
      <sz val="11"/>
    </font>
    <font>
      <name val="Calibri"/>
      <b val="1"/>
      <color rgb="0064748B"/>
      <sz val="9"/>
    </font>
    <font>
      <name val="Calibri"/>
      <b val="1"/>
      <color rgb="000F172A"/>
      <sz val="18"/>
    </font>
    <font>
      <name val="Calibri"/>
      <b val="1"/>
      <color rgb="00FFFFFF"/>
      <sz val="11"/>
    </font>
    <font>
      <name val="Calibri"/>
      <color rgb="000F172A"/>
      <sz val="11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1E293B"/>
        <bgColor rgb="001E293B"/>
      </patternFill>
    </fill>
    <fill>
      <patternFill patternType="solid">
        <fgColor rgb="00F9FAFB"/>
        <bgColor rgb="00F9FAFB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334155"/>
      </left>
      <right style="thin">
        <color rgb="00334155"/>
      </right>
      <top style="medium">
        <color rgb="001E293B"/>
      </top>
      <bottom style="medium">
        <color rgb="001E293B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164" fontId="4" fillId="2" borderId="1" applyAlignment="1" pivotButton="0" quotePrefix="0" xfId="0">
      <alignment horizontal="right"/>
    </xf>
    <xf numFmtId="3" fontId="6" fillId="0" borderId="0" pivotButton="0" quotePrefix="0" xfId="0"/>
    <xf numFmtId="166" fontId="6" fillId="0" borderId="0" pivotButton="0" quotePrefix="0" xfId="0"/>
    <xf numFmtId="1" fontId="6" fillId="0" borderId="0" pivotButton="0" quotePrefix="0" xfId="0"/>
    <xf numFmtId="165" fontId="4" fillId="2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7" fillId="4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8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left"/>
    </xf>
    <xf numFmtId="3" fontId="8" fillId="5" borderId="1" applyAlignment="1" pivotButton="0" quotePrefix="0" xfId="0">
      <alignment horizontal="right"/>
    </xf>
    <xf numFmtId="166" fontId="8" fillId="5" borderId="1" applyAlignment="1" pivotButton="0" quotePrefix="0" xfId="0">
      <alignment horizontal="right"/>
    </xf>
    <xf numFmtId="10" fontId="8" fillId="5" borderId="1" applyAlignment="1" pivotButton="0" quotePrefix="0" xfId="0">
      <alignment horizontal="right"/>
    </xf>
    <xf numFmtId="164" fontId="8" fillId="5" borderId="1" applyAlignment="1" pivotButton="0" quotePrefix="0" xfId="0">
      <alignment horizontal="right"/>
    </xf>
    <xf numFmtId="0" fontId="4" fillId="6" borderId="3" applyAlignment="1" pivotButton="0" quotePrefix="0" xfId="0">
      <alignment horizontal="left"/>
    </xf>
    <xf numFmtId="0" fontId="4" fillId="6" borderId="3" pivotButton="0" quotePrefix="0" xfId="0"/>
    <xf numFmtId="3" fontId="4" fillId="6" borderId="3" pivotButton="0" quotePrefix="0" xfId="0"/>
    <xf numFmtId="166" fontId="4" fillId="6" borderId="3" pivotButton="0" quotePrefix="0" xfId="0"/>
    <xf numFmtId="10" fontId="4" fillId="6" borderId="3" pivotButton="0" quotePrefix="0" xfId="0"/>
    <xf numFmtId="164" fontId="4" fillId="6" borderId="3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del Presupuesto Participativo por Colonia (MXN)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'Calculadora_Presupuesto'!I11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'Calculadora_Presupuesto'!$B$12:$B$31</f>
            </numRef>
          </cat>
          <val>
            <numRef>
              <f>'Calculadora_Presupuesto'!$I$12:$I$31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Colonia / Fraccionamiento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Presupuesto (MXN)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9" customWidth="1" min="4" max="4"/>
    <col width="23" customWidth="1" min="5" max="5"/>
    <col width="25" customWidth="1" min="6" max="6"/>
    <col width="25" customWidth="1" min="7" max="7"/>
    <col width="27" customWidth="1" min="8" max="8"/>
    <col width="22" customWidth="1" min="9" max="9"/>
    <col width="22" customWidth="1" min="10" max="10"/>
  </cols>
  <sheetData>
    <row r="1"/>
    <row r="2">
      <c r="B2" s="1" t="inlineStr">
        <is>
          <t>MUNICIPIO DE DURANGO - PRESUPUESTO PARTICIPATIVO</t>
        </is>
      </c>
    </row>
    <row r="3">
      <c r="B3" s="2" t="inlineStr">
        <is>
          <t>Modelo Dinámico de Distribución Presupuestal por Población y Rezago Social</t>
        </is>
      </c>
    </row>
    <row r="4"/>
    <row r="5">
      <c r="B5" s="3" t="inlineStr">
        <is>
          <t>PARÁMETROS DE CONFIGURACIÓN</t>
        </is>
      </c>
      <c r="E5" s="4" t="inlineStr">
        <is>
          <t>POBLACIÓN TOTAL BENEFICIADA</t>
        </is>
      </c>
      <c r="G5" s="4" t="inlineStr">
        <is>
          <t>PROMEDIO DE REZAGO SOCIAL</t>
        </is>
      </c>
      <c r="I5" s="4" t="inlineStr">
        <is>
          <t>TOTAL DE ZONAS / COLONIAS</t>
        </is>
      </c>
    </row>
    <row r="6">
      <c r="B6" s="5" t="inlineStr">
        <is>
          <t>Techo Presupuestal Total ($B$):</t>
        </is>
      </c>
      <c r="C6" s="6" t="n">
        <v>10000000</v>
      </c>
      <c r="E6" s="7">
        <f>SUM(D12:D31)</f>
        <v/>
      </c>
      <c r="G6" s="8">
        <f>AVERAGE(E12:E31)</f>
        <v/>
      </c>
      <c r="I6" s="9">
        <f>COUNTA(B12:B31)</f>
        <v/>
      </c>
    </row>
    <row r="7">
      <c r="B7" s="5" t="inlineStr">
        <is>
          <t>Ponderación Población (w_P):</t>
        </is>
      </c>
      <c r="C7" s="10" t="n">
        <v>0.4</v>
      </c>
    </row>
    <row r="8">
      <c r="B8" s="5" t="inlineStr">
        <is>
          <t>Ponderación Rezago Social (w_R):</t>
        </is>
      </c>
      <c r="C8" s="11">
        <f>1-C7</f>
        <v/>
      </c>
    </row>
    <row r="9"/>
    <row r="10"/>
    <row r="11">
      <c r="A11" s="12" t="inlineStr">
        <is>
          <t>Clave Catastral</t>
        </is>
      </c>
      <c r="B11" s="12" t="inlineStr">
        <is>
          <t>Colonia / Fraccionamiento</t>
        </is>
      </c>
      <c r="C11" s="12" t="inlineStr">
        <is>
          <t>Sector Urbano / Delegación</t>
        </is>
      </c>
      <c r="D11" s="12" t="inlineStr">
        <is>
          <t>Población (P_i)</t>
        </is>
      </c>
      <c r="E11" s="12" t="inlineStr">
        <is>
          <t>Índice Rezago (R_i)</t>
        </is>
      </c>
      <c r="F11" s="12" t="inlineStr">
        <is>
          <t>Factor Pob (f_P)</t>
        </is>
      </c>
      <c r="G11" s="12" t="inlineStr">
        <is>
          <t>Factor Rez (f_R)</t>
        </is>
      </c>
      <c r="H11" s="12" t="inlineStr">
        <is>
          <t>Puntaje Compuesto (S_i)</t>
        </is>
      </c>
      <c r="I11" s="12" t="inlineStr">
        <is>
          <t>Presupuesto Asignado ($B_i$)</t>
        </is>
      </c>
      <c r="J11" s="12" t="inlineStr">
        <is>
          <t>% Asignación Total</t>
        </is>
      </c>
    </row>
    <row r="12">
      <c r="A12" s="13" t="inlineStr">
        <is>
          <t>001-0001-01-001</t>
        </is>
      </c>
      <c r="B12" s="14" t="inlineStr">
        <is>
          <t>Zona Centro Histórico</t>
        </is>
      </c>
      <c r="C12" s="13" t="inlineStr">
        <is>
          <t>Sector 01 - Centro</t>
        </is>
      </c>
      <c r="D12" s="15" t="n">
        <v>14200</v>
      </c>
      <c r="E12" s="16" t="n">
        <v>3.2</v>
      </c>
      <c r="F12" s="17">
        <f>D12/SUM($D$12:$D$31)</f>
        <v/>
      </c>
      <c r="G12" s="17">
        <f>E12/SUM($E$12:$E$31)</f>
        <v/>
      </c>
      <c r="H12" s="17">
        <f>($C$7*F12)+($C$8*G12)</f>
        <v/>
      </c>
      <c r="I12" s="18">
        <f>$C$6*H12</f>
        <v/>
      </c>
      <c r="J12" s="17">
        <f>I12/$C$6</f>
        <v/>
      </c>
    </row>
    <row r="13">
      <c r="A13" s="19" t="inlineStr">
        <is>
          <t>001-0001-02-015</t>
        </is>
      </c>
      <c r="B13" s="20" t="inlineStr">
        <is>
          <t>Barrio de Analco</t>
        </is>
      </c>
      <c r="C13" s="19" t="inlineStr">
        <is>
          <t>Sector 02 - Tradicional</t>
        </is>
      </c>
      <c r="D13" s="21" t="n">
        <v>6800</v>
      </c>
      <c r="E13" s="22" t="n">
        <v>4.1</v>
      </c>
      <c r="F13" s="23">
        <f>D13/SUM($D$12:$D$31)</f>
        <v/>
      </c>
      <c r="G13" s="23">
        <f>E13/SUM($E$12:$E$31)</f>
        <v/>
      </c>
      <c r="H13" s="23">
        <f>($C$7*F13)+($C$8*G13)</f>
        <v/>
      </c>
      <c r="I13" s="24">
        <f>$C$6*H13</f>
        <v/>
      </c>
      <c r="J13" s="23">
        <f>I13/$C$6</f>
        <v/>
      </c>
    </row>
    <row r="14">
      <c r="A14" s="13" t="inlineStr">
        <is>
          <t>001-0001-02-042</t>
        </is>
      </c>
      <c r="B14" s="14" t="inlineStr">
        <is>
          <t>Barrio de Tierra Blanca</t>
        </is>
      </c>
      <c r="C14" s="13" t="inlineStr">
        <is>
          <t>Sector 02 - Tradicional</t>
        </is>
      </c>
      <c r="D14" s="15" t="n">
        <v>7500</v>
      </c>
      <c r="E14" s="16" t="n">
        <v>4.5</v>
      </c>
      <c r="F14" s="17">
        <f>D14/SUM($D$12:$D$31)</f>
        <v/>
      </c>
      <c r="G14" s="17">
        <f>E14/SUM($E$12:$E$31)</f>
        <v/>
      </c>
      <c r="H14" s="17">
        <f>($C$7*F14)+($C$8*G14)</f>
        <v/>
      </c>
      <c r="I14" s="18">
        <f>$C$6*H14</f>
        <v/>
      </c>
      <c r="J14" s="17">
        <f>I14/$C$6</f>
        <v/>
      </c>
    </row>
    <row r="15">
      <c r="A15" s="19" t="inlineStr">
        <is>
          <t>001-0001-02-088</t>
        </is>
      </c>
      <c r="B15" s="20" t="inlineStr">
        <is>
          <t>Barrio del Cuate</t>
        </is>
      </c>
      <c r="C15" s="19" t="inlineStr">
        <is>
          <t>Sector 02 - Tradicional</t>
        </is>
      </c>
      <c r="D15" s="21" t="n">
        <v>4200</v>
      </c>
      <c r="E15" s="22" t="n">
        <v>5</v>
      </c>
      <c r="F15" s="23">
        <f>D15/SUM($D$12:$D$31)</f>
        <v/>
      </c>
      <c r="G15" s="23">
        <f>E15/SUM($E$12:$E$31)</f>
        <v/>
      </c>
      <c r="H15" s="23">
        <f>($C$7*F15)+($C$8*G15)</f>
        <v/>
      </c>
      <c r="I15" s="24">
        <f>$C$6*H15</f>
        <v/>
      </c>
      <c r="J15" s="23">
        <f>I15/$C$6</f>
        <v/>
      </c>
    </row>
    <row r="16">
      <c r="A16" s="13" t="inlineStr">
        <is>
          <t>001-0001-04-010</t>
        </is>
      </c>
      <c r="B16" s="14" t="inlineStr">
        <is>
          <t>Fracc. Los Remedios</t>
        </is>
      </c>
      <c r="C16" s="13" t="inlineStr">
        <is>
          <t>Sector 04 - Poniente</t>
        </is>
      </c>
      <c r="D16" s="15" t="n">
        <v>5100</v>
      </c>
      <c r="E16" s="16" t="n">
        <v>1.5</v>
      </c>
      <c r="F16" s="17">
        <f>D16/SUM($D$12:$D$31)</f>
        <v/>
      </c>
      <c r="G16" s="17">
        <f>E16/SUM($E$12:$E$31)</f>
        <v/>
      </c>
      <c r="H16" s="17">
        <f>($C$7*F16)+($C$8*G16)</f>
        <v/>
      </c>
      <c r="I16" s="18">
        <f>$C$6*H16</f>
        <v/>
      </c>
      <c r="J16" s="17">
        <f>I16/$C$6</f>
        <v/>
      </c>
    </row>
    <row r="17">
      <c r="A17" s="19" t="inlineStr">
        <is>
          <t>001-0001-04-055</t>
        </is>
      </c>
      <c r="B17" s="20" t="inlineStr">
        <is>
          <t>Fracc. Lomas del Parque</t>
        </is>
      </c>
      <c r="C17" s="19" t="inlineStr">
        <is>
          <t>Sector 04 - Poniente</t>
        </is>
      </c>
      <c r="D17" s="21" t="n">
        <v>3900</v>
      </c>
      <c r="E17" s="22" t="n">
        <v>1.2</v>
      </c>
      <c r="F17" s="23">
        <f>D17/SUM($D$12:$D$31)</f>
        <v/>
      </c>
      <c r="G17" s="23">
        <f>E17/SUM($E$12:$E$31)</f>
        <v/>
      </c>
      <c r="H17" s="23">
        <f>($C$7*F17)+($C$8*G17)</f>
        <v/>
      </c>
      <c r="I17" s="24">
        <f>$C$6*H17</f>
        <v/>
      </c>
      <c r="J17" s="23">
        <f>I17/$C$6</f>
        <v/>
      </c>
    </row>
    <row r="18">
      <c r="A18" s="13" t="inlineStr">
        <is>
          <t>001-0001-05-020</t>
        </is>
      </c>
      <c r="B18" s="14" t="inlineStr">
        <is>
          <t>Fracc. Colinas del Saltito</t>
        </is>
      </c>
      <c r="C18" s="13" t="inlineStr">
        <is>
          <t>Sector 05 - Poniente</t>
        </is>
      </c>
      <c r="D18" s="15" t="n">
        <v>4600</v>
      </c>
      <c r="E18" s="16" t="n">
        <v>1.8</v>
      </c>
      <c r="F18" s="17">
        <f>D18/SUM($D$12:$D$31)</f>
        <v/>
      </c>
      <c r="G18" s="17">
        <f>E18/SUM($E$12:$E$31)</f>
        <v/>
      </c>
      <c r="H18" s="17">
        <f>($C$7*F18)+($C$8*G18)</f>
        <v/>
      </c>
      <c r="I18" s="18">
        <f>$C$6*H18</f>
        <v/>
      </c>
      <c r="J18" s="17">
        <f>I18/$C$6</f>
        <v/>
      </c>
    </row>
    <row r="19">
      <c r="A19" s="19" t="inlineStr">
        <is>
          <t>001-0001-07-005</t>
        </is>
      </c>
      <c r="B19" s="20" t="inlineStr">
        <is>
          <t>Fracc. Jardines de Durango</t>
        </is>
      </c>
      <c r="C19" s="19" t="inlineStr">
        <is>
          <t>Sector 07 - Oriente</t>
        </is>
      </c>
      <c r="D19" s="21" t="n">
        <v>11200</v>
      </c>
      <c r="E19" s="22" t="n">
        <v>3</v>
      </c>
      <c r="F19" s="23">
        <f>D19/SUM($D$12:$D$31)</f>
        <v/>
      </c>
      <c r="G19" s="23">
        <f>E19/SUM($E$12:$E$31)</f>
        <v/>
      </c>
      <c r="H19" s="23">
        <f>($C$7*F19)+($C$8*G19)</f>
        <v/>
      </c>
      <c r="I19" s="24">
        <f>$C$6*H19</f>
        <v/>
      </c>
      <c r="J19" s="23">
        <f>I19/$C$6</f>
        <v/>
      </c>
    </row>
    <row r="20">
      <c r="A20" s="13" t="inlineStr">
        <is>
          <t>001-0001-08-030</t>
        </is>
      </c>
      <c r="B20" s="14" t="inlineStr">
        <is>
          <t>Fracc. Huizache I y II</t>
        </is>
      </c>
      <c r="C20" s="13" t="inlineStr">
        <is>
          <t>Sector 08 - Oriente</t>
        </is>
      </c>
      <c r="D20" s="15" t="n">
        <v>16800</v>
      </c>
      <c r="E20" s="16" t="n">
        <v>5.8</v>
      </c>
      <c r="F20" s="17">
        <f>D20/SUM($D$12:$D$31)</f>
        <v/>
      </c>
      <c r="G20" s="17">
        <f>E20/SUM($E$12:$E$31)</f>
        <v/>
      </c>
      <c r="H20" s="17">
        <f>($C$7*F20)+($C$8*G20)</f>
        <v/>
      </c>
      <c r="I20" s="18">
        <f>$C$6*H20</f>
        <v/>
      </c>
      <c r="J20" s="17">
        <f>I20/$C$6</f>
        <v/>
      </c>
    </row>
    <row r="21">
      <c r="A21" s="19" t="inlineStr">
        <is>
          <t>001-0001-08-095</t>
        </is>
      </c>
      <c r="B21" s="20" t="inlineStr">
        <is>
          <t>Fracc. Fidel Velázquez</t>
        </is>
      </c>
      <c r="C21" s="19" t="inlineStr">
        <is>
          <t>Sector 08 - Oriente</t>
        </is>
      </c>
      <c r="D21" s="21" t="n">
        <v>14500</v>
      </c>
      <c r="E21" s="22" t="n">
        <v>6.2</v>
      </c>
      <c r="F21" s="23">
        <f>D21/SUM($D$12:$D$31)</f>
        <v/>
      </c>
      <c r="G21" s="23">
        <f>E21/SUM($E$12:$E$31)</f>
        <v/>
      </c>
      <c r="H21" s="23">
        <f>($C$7*F21)+($C$8*G21)</f>
        <v/>
      </c>
      <c r="I21" s="24">
        <f>$C$6*H21</f>
        <v/>
      </c>
      <c r="J21" s="23">
        <f>I21/$C$6</f>
        <v/>
      </c>
    </row>
    <row r="22">
      <c r="A22" s="13" t="inlineStr">
        <is>
          <t>001-0001-09-012</t>
        </is>
      </c>
      <c r="B22" s="14" t="inlineStr">
        <is>
          <t>Col. Isabel Almanza</t>
        </is>
      </c>
      <c r="C22" s="13" t="inlineStr">
        <is>
          <t>Sector 09 - Oriente</t>
        </is>
      </c>
      <c r="D22" s="15" t="n">
        <v>8900</v>
      </c>
      <c r="E22" s="16" t="n">
        <v>8.5</v>
      </c>
      <c r="F22" s="17">
        <f>D22/SUM($D$12:$D$31)</f>
        <v/>
      </c>
      <c r="G22" s="17">
        <f>E22/SUM($E$12:$E$31)</f>
        <v/>
      </c>
      <c r="H22" s="17">
        <f>($C$7*F22)+($C$8*G22)</f>
        <v/>
      </c>
      <c r="I22" s="18">
        <f>$C$6*H22</f>
        <v/>
      </c>
      <c r="J22" s="17">
        <f>I22/$C$6</f>
        <v/>
      </c>
    </row>
    <row r="23">
      <c r="A23" s="19" t="inlineStr">
        <is>
          <t>001-0001-09-064</t>
        </is>
      </c>
      <c r="B23" s="20" t="inlineStr">
        <is>
          <t>Col. Luz y Esperanza</t>
        </is>
      </c>
      <c r="C23" s="19" t="inlineStr">
        <is>
          <t>Sector 09 - Oriente</t>
        </is>
      </c>
      <c r="D23" s="21" t="n">
        <v>6200</v>
      </c>
      <c r="E23" s="22" t="n">
        <v>9.4</v>
      </c>
      <c r="F23" s="23">
        <f>D23/SUM($D$12:$D$31)</f>
        <v/>
      </c>
      <c r="G23" s="23">
        <f>E23/SUM($E$12:$E$31)</f>
        <v/>
      </c>
      <c r="H23" s="23">
        <f>($C$7*F23)+($C$8*G23)</f>
        <v/>
      </c>
      <c r="I23" s="24">
        <f>$C$6*H23</f>
        <v/>
      </c>
      <c r="J23" s="23">
        <f>I23/$C$6</f>
        <v/>
      </c>
    </row>
    <row r="24">
      <c r="A24" s="13" t="inlineStr">
        <is>
          <t>001-0001-11-018</t>
        </is>
      </c>
      <c r="B24" s="14" t="inlineStr">
        <is>
          <t>Col. Morga</t>
        </is>
      </c>
      <c r="C24" s="13" t="inlineStr">
        <is>
          <t>Sector 11 - Nororiente</t>
        </is>
      </c>
      <c r="D24" s="15" t="n">
        <v>9400</v>
      </c>
      <c r="E24" s="16" t="n">
        <v>7.1</v>
      </c>
      <c r="F24" s="17">
        <f>D24/SUM($D$12:$D$31)</f>
        <v/>
      </c>
      <c r="G24" s="17">
        <f>E24/SUM($E$12:$E$31)</f>
        <v/>
      </c>
      <c r="H24" s="17">
        <f>($C$7*F24)+($C$8*G24)</f>
        <v/>
      </c>
      <c r="I24" s="18">
        <f>$C$6*H24</f>
        <v/>
      </c>
      <c r="J24" s="17">
        <f>I24/$C$6</f>
        <v/>
      </c>
    </row>
    <row r="25">
      <c r="A25" s="19" t="inlineStr">
        <is>
          <t>001-0001-11-050</t>
        </is>
      </c>
      <c r="B25" s="20" t="inlineStr">
        <is>
          <t>Col. Maza de Juárez</t>
        </is>
      </c>
      <c r="C25" s="19" t="inlineStr">
        <is>
          <t>Sector 11 - Nororiente</t>
        </is>
      </c>
      <c r="D25" s="21" t="n">
        <v>5800</v>
      </c>
      <c r="E25" s="22" t="n">
        <v>6.8</v>
      </c>
      <c r="F25" s="23">
        <f>D25/SUM($D$12:$D$31)</f>
        <v/>
      </c>
      <c r="G25" s="23">
        <f>E25/SUM($E$12:$E$31)</f>
        <v/>
      </c>
      <c r="H25" s="23">
        <f>($C$7*F25)+($C$8*G25)</f>
        <v/>
      </c>
      <c r="I25" s="24">
        <f>$C$6*H25</f>
        <v/>
      </c>
      <c r="J25" s="23">
        <f>I25/$C$6</f>
        <v/>
      </c>
    </row>
    <row r="26">
      <c r="A26" s="13" t="inlineStr">
        <is>
          <t>001-0001-12-004</t>
        </is>
      </c>
      <c r="B26" s="14" t="inlineStr">
        <is>
          <t>Col. Asentamientos Humanos</t>
        </is>
      </c>
      <c r="C26" s="13" t="inlineStr">
        <is>
          <t>Sector 12 - Norte</t>
        </is>
      </c>
      <c r="D26" s="15" t="n">
        <v>10500</v>
      </c>
      <c r="E26" s="16" t="n">
        <v>8.199999999999999</v>
      </c>
      <c r="F26" s="17">
        <f>D26/SUM($D$12:$D$31)</f>
        <v/>
      </c>
      <c r="G26" s="17">
        <f>E26/SUM($E$12:$E$31)</f>
        <v/>
      </c>
      <c r="H26" s="17">
        <f>($C$7*F26)+($C$8*G26)</f>
        <v/>
      </c>
      <c r="I26" s="18">
        <f>$C$6*H26</f>
        <v/>
      </c>
      <c r="J26" s="17">
        <f>I26/$C$6</f>
        <v/>
      </c>
    </row>
    <row r="27">
      <c r="A27" s="19" t="inlineStr">
        <is>
          <t>001-0001-15-022</t>
        </is>
      </c>
      <c r="B27" s="20" t="inlineStr">
        <is>
          <t>Fracc. Domingo Arrieta</t>
        </is>
      </c>
      <c r="C27" s="19" t="inlineStr">
        <is>
          <t>Sector 15 - Sur</t>
        </is>
      </c>
      <c r="D27" s="21" t="n">
        <v>13100</v>
      </c>
      <c r="E27" s="22" t="n">
        <v>5.2</v>
      </c>
      <c r="F27" s="23">
        <f>D27/SUM($D$12:$D$31)</f>
        <v/>
      </c>
      <c r="G27" s="23">
        <f>E27/SUM($E$12:$E$31)</f>
        <v/>
      </c>
      <c r="H27" s="23">
        <f>($C$7*F27)+($C$8*G27)</f>
        <v/>
      </c>
      <c r="I27" s="24">
        <f>$C$6*H27</f>
        <v/>
      </c>
      <c r="J27" s="23">
        <f>I27/$C$6</f>
        <v/>
      </c>
    </row>
    <row r="28">
      <c r="A28" s="13" t="inlineStr">
        <is>
          <t>001-0001-15-070</t>
        </is>
      </c>
      <c r="B28" s="14" t="inlineStr">
        <is>
          <t>Col. Jalisco</t>
        </is>
      </c>
      <c r="C28" s="13" t="inlineStr">
        <is>
          <t>Sector 15 - Sur</t>
        </is>
      </c>
      <c r="D28" s="15" t="n">
        <v>7900</v>
      </c>
      <c r="E28" s="16" t="n">
        <v>6</v>
      </c>
      <c r="F28" s="17">
        <f>D28/SUM($D$12:$D$31)</f>
        <v/>
      </c>
      <c r="G28" s="17">
        <f>E28/SUM($E$12:$E$31)</f>
        <v/>
      </c>
      <c r="H28" s="17">
        <f>($C$7*F28)+($C$8*G28)</f>
        <v/>
      </c>
      <c r="I28" s="18">
        <f>$C$6*H28</f>
        <v/>
      </c>
      <c r="J28" s="17">
        <f>I28/$C$6</f>
        <v/>
      </c>
    </row>
    <row r="29">
      <c r="A29" s="19" t="inlineStr">
        <is>
          <t>001-0001-16-011</t>
        </is>
      </c>
      <c r="B29" s="20" t="inlineStr">
        <is>
          <t>Col. Valle del Sur</t>
        </is>
      </c>
      <c r="C29" s="19" t="inlineStr">
        <is>
          <t>Sector 16 - Sur</t>
        </is>
      </c>
      <c r="D29" s="21" t="n">
        <v>8400</v>
      </c>
      <c r="E29" s="22" t="n">
        <v>7.5</v>
      </c>
      <c r="F29" s="23">
        <f>D29/SUM($D$12:$D$31)</f>
        <v/>
      </c>
      <c r="G29" s="23">
        <f>E29/SUM($E$12:$E$31)</f>
        <v/>
      </c>
      <c r="H29" s="23">
        <f>($C$7*F29)+($C$8*G29)</f>
        <v/>
      </c>
      <c r="I29" s="24">
        <f>$C$6*H29</f>
        <v/>
      </c>
      <c r="J29" s="23">
        <f>I29/$C$6</f>
        <v/>
      </c>
    </row>
    <row r="30">
      <c r="A30" s="13" t="inlineStr">
        <is>
          <t>001-0002-01-001</t>
        </is>
      </c>
      <c r="B30" s="14" t="inlineStr">
        <is>
          <t>Poblado El Pueblito</t>
        </is>
      </c>
      <c r="C30" s="13" t="inlineStr">
        <is>
          <t>Zona Rural - Valle Tunal</t>
        </is>
      </c>
      <c r="D30" s="15" t="n">
        <v>3800</v>
      </c>
      <c r="E30" s="16" t="n">
        <v>6.5</v>
      </c>
      <c r="F30" s="17">
        <f>D30/SUM($D$12:$D$31)</f>
        <v/>
      </c>
      <c r="G30" s="17">
        <f>E30/SUM($E$12:$E$31)</f>
        <v/>
      </c>
      <c r="H30" s="17">
        <f>($C$7*F30)+($C$8*G30)</f>
        <v/>
      </c>
      <c r="I30" s="18">
        <f>$C$6*H30</f>
        <v/>
      </c>
      <c r="J30" s="17">
        <f>I30/$C$6</f>
        <v/>
      </c>
    </row>
    <row r="31">
      <c r="A31" s="19" t="inlineStr">
        <is>
          <t>001-0005-01-001</t>
        </is>
      </c>
      <c r="B31" s="20" t="inlineStr">
        <is>
          <t>Poblado 5 de Mayo</t>
        </is>
      </c>
      <c r="C31" s="19" t="inlineStr">
        <is>
          <t>Zona Rural - Carretera Torreón</t>
        </is>
      </c>
      <c r="D31" s="21" t="n">
        <v>4700</v>
      </c>
      <c r="E31" s="22" t="n">
        <v>7.8</v>
      </c>
      <c r="F31" s="23">
        <f>D31/SUM($D$12:$D$31)</f>
        <v/>
      </c>
      <c r="G31" s="23">
        <f>E31/SUM($E$12:$E$31)</f>
        <v/>
      </c>
      <c r="H31" s="23">
        <f>($C$7*F31)+($C$8*G31)</f>
        <v/>
      </c>
      <c r="I31" s="24">
        <f>$C$6*H31</f>
        <v/>
      </c>
      <c r="J31" s="23">
        <f>I31/$C$6</f>
        <v/>
      </c>
    </row>
    <row r="32">
      <c r="A32" s="25" t="inlineStr">
        <is>
          <t>TOTAL MUNICIPAL</t>
        </is>
      </c>
      <c r="B32" s="26" t="n"/>
      <c r="C32" s="26" t="n"/>
      <c r="D32" s="27">
        <f>SUM(D12:D31)</f>
        <v/>
      </c>
      <c r="E32" s="28">
        <f>AVERAGE(E12:E31)</f>
        <v/>
      </c>
      <c r="F32" s="29">
        <f>SUM(F12:F31)</f>
        <v/>
      </c>
      <c r="G32" s="29">
        <f>SUM(G12:G31)</f>
        <v/>
      </c>
      <c r="H32" s="29">
        <f>SUM(H12:H31)</f>
        <v/>
      </c>
      <c r="I32" s="30">
        <f>SUM(I12:I31)</f>
        <v/>
      </c>
      <c r="J32" s="29">
        <f>SUM(J12:J31)</f>
        <v/>
      </c>
    </row>
  </sheetData>
  <conditionalFormatting sqref="I12:I31">
    <cfRule type="colorScale" priority="1">
      <colorScale>
        <cfvo type="min"/>
        <cfvo type="percentile" val="50"/>
        <cfvo type="max"/>
        <color rgb="00F1F5F9"/>
        <color rgb="00CBD5E1"/>
        <color rgb="0094A3B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CÓDIGO MACRO VBA Y ESTRUCTURA CSV</t>
        </is>
      </c>
    </row>
    <row r="4">
      <c r="B4" s="3" t="inlineStr">
        <is>
          <t>1. Estructura Plana CSV (Listo para copiar y guardar como .csv):</t>
        </is>
      </c>
    </row>
    <row r="5">
      <c r="B5" s="31" t="inlineStr">
        <is>
          <t>Clave Catastral,Colonia,Sector,Poblacion,Rezago_Social
001-0001-01-001,Zona Centro Historico,Sector 01 - Centro,14200,3.2
001-0001-02-015,Barrio de Analco,Sector 02 - Tradicional,6800,4.1
001-0001-02-042,Barrio de Tierra Blanca,Sector 02 - Tradicional,7500,4.5
001-0001-04-010,Fracc. Los Remedios,Sector 04 - Poniente,5100,1.5
001-0001-08-030,Fracc. Huizache I y II,Sector 08 - Oriente,16800,5.8
001-0001-09-064,Col. Luz y Esperanza,Sector 09 - Oriente,6200,9.4
001-0001-12-004,Col. Asentamientos Humanos,Sector 12 - Norte,10500,8.2</t>
        </is>
      </c>
    </row>
    <row r="14">
      <c r="B14" s="3" t="inlineStr">
        <is>
          <t>2. Código Macro VBA de Excel (Modulo estándar):</t>
        </is>
      </c>
    </row>
    <row r="15">
      <c r="B15" s="31" t="inlineStr">
        <is>
          <t>Sub CalcularPresupuestoParticipativo()
    Dim ws As Worksheet
    Set ws = ThisWorkbook.Sheets("Calculadora_Presupuesto")
    Dim presupuestoTotal As Double
    Dim pesoPoblacion As Double, pesoRezago As Double
    Dim i As Long, ultimaFila As Long
    Dim sumaPoblacion As Double, sumaRezago As Double
    ' Obtener parámetros
    presupuestoTotal = ws.Range("C6").Value
    pesoPoblacion = ws.Range("C7").Value
    pesoRezago = ws.Range("C8").Value
    ultimaFila = ws.Cells(ws.Rows.Count, "B").End(xlUp).Row - 1
    ' Calcular Totales
    sumaPoblacion = Application.WorksheetFunction.Sum(ws.Range("D12:D" &amp; ultimaFila))
    sumaRezago = Application.WorksheetFunction.Sum(ws.Range("E12:E" &amp; ultimaFila))
    ' Recorrer y calcular
    For i = 12 To ultimaFila
        Dim fPob As Double, fRez As Double, puntaje As Double
        fPob = ws.Cells(i, 4).Value / sumaPoblacion
        fRez = ws.Cells(i, 5).Value / sumaRezago
        puntaje = (pesoPoblacion * fPob) + (pesoRezago * fRez)
        ws.Cells(i, 6).Value = fPob
        ws.Cells(i, 7).Value = fRez
        ws.Cells(i, 8).Value = puntaje
        ws.Cells(i, 9).Value = presupuestoTotal * puntaje
        ws.Cells(i, 10).Value = puntaje
    Next i
    MsgBox "Cálculo del Presupuesto Participativo completado exitosamente.", vbInformation, "Durango Catastro"
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2026-07-31T16:36:33Z</dcterms:created>
  <dcterms:modified xmlns:dcterms="http://purl.org/dc/terms/" xmlns:xsi="http://www.w3.org/2001/XMLSchema-instance" xsi:type="dcterms:W3CDTF">2026-07-31T16:36:33Z</dcterms:modified>
</cp:coreProperties>
</file>